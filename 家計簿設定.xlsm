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work\repos\kakeibo\"/>
    </mc:Choice>
  </mc:AlternateContent>
  <xr:revisionPtr revIDLastSave="0" documentId="13_ncr:1_{BB9EC338-585B-445C-93E9-5CA9B6E07708}" xr6:coauthVersionLast="47" xr6:coauthVersionMax="47" xr10:uidLastSave="{00000000-0000-0000-0000-000000000000}"/>
  <bookViews>
    <workbookView xWindow="-110" yWindow="-110" windowWidth="19420" windowHeight="11500" activeTab="2" xr2:uid="{02DFEB08-869E-4650-AAF6-2AFD0327408D}"/>
  </bookViews>
  <sheets>
    <sheet name="表紙" sheetId="78" r:id="rId1"/>
    <sheet name="家計簿設定シート" sheetId="1" r:id="rId2"/>
    <sheet name="CSV取込" sheetId="126" r:id="rId3"/>
    <sheet name="result" sheetId="12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<sst xmlns="http://schemas.openxmlformats.org/spreadsheetml/2006/main" count="324" uniqueCount="76">
  <si>
    <t>スーパー</t>
    <phoneticPr fontId="1"/>
  </si>
  <si>
    <t>コンビニ</t>
    <phoneticPr fontId="1"/>
  </si>
  <si>
    <t>日用品</t>
    <rPh sb="0" eb="3">
      <t>ニチヨウヒン</t>
    </rPh>
    <phoneticPr fontId="1"/>
  </si>
  <si>
    <t>Amazon</t>
    <phoneticPr fontId="1"/>
  </si>
  <si>
    <t>外食</t>
    <rPh sb="0" eb="2">
      <t>ガイショク</t>
    </rPh>
    <phoneticPr fontId="1"/>
  </si>
  <si>
    <t>AMAZON.CO.JP</t>
  </si>
  <si>
    <t>店名</t>
    <rPh sb="0" eb="2">
      <t>テンメイ</t>
    </rPh>
    <phoneticPr fontId="1"/>
  </si>
  <si>
    <t>カテゴリ</t>
    <phoneticPr fontId="1"/>
  </si>
  <si>
    <t>カテゴリ表</t>
    <rPh sb="4" eb="5">
      <t>ヒョウ</t>
    </rPh>
    <phoneticPr fontId="1"/>
  </si>
  <si>
    <t>スーパー</t>
  </si>
  <si>
    <t>コンビニ</t>
  </si>
  <si>
    <t>日用品</t>
  </si>
  <si>
    <t>Amazon</t>
  </si>
  <si>
    <t>外食</t>
  </si>
  <si>
    <t>店名リスト(カテゴリ表参照)</t>
    <rPh sb="0" eb="2">
      <t>テンメイ</t>
    </rPh>
    <rPh sb="10" eb="13">
      <t>ヒョウサンショウ</t>
    </rPh>
    <phoneticPr fontId="1"/>
  </si>
  <si>
    <t>利用日</t>
  </si>
  <si>
    <t>利用店名・商品名</t>
  </si>
  <si>
    <t>利用者</t>
  </si>
  <si>
    <t>支払方法</t>
  </si>
  <si>
    <t>利用金額</t>
  </si>
  <si>
    <t>支払手数料</t>
  </si>
  <si>
    <t>支払総額</t>
  </si>
  <si>
    <t>支払月</t>
  </si>
  <si>
    <t>ＶＩＳＡ国内利用　VS AMAZON.CO.JP</t>
  </si>
  <si>
    <t>本人</t>
  </si>
  <si>
    <t>1回払い</t>
  </si>
  <si>
    <t>ＪＣＢ国内利用　QP  ｾｲﾕｳ</t>
  </si>
  <si>
    <t>ＪＣＢ国内利用　QP  ﾌｱﾐﾘｰﾏｰﾄ</t>
  </si>
  <si>
    <t>ＪＣＢ国内利用　QP  ﾏｲﾊﾞｽｹﾂﾄ</t>
  </si>
  <si>
    <t>ＪＣＢ国内利用　QP  ｷﾔﾝﾄﾞｳ</t>
  </si>
  <si>
    <t>ＪＣＢ国内利用　QP  ｻﾝﾄﾞﾗﾂｸﾞ</t>
  </si>
  <si>
    <t>ＪＣＢ国内利用　QP  ｻｶｶﾞﾐｺﾏｺﾞﾒﾃﾝ</t>
  </si>
  <si>
    <t>ＶＩＳＡ国内利用　VS ｻｲｾﾞﾘﾔ/NFC</t>
  </si>
  <si>
    <t>ＶＩＳＡ国内利用　VS MYBｺﾏｺﾞﾒﾛｸﾁﾖｳﾒ</t>
  </si>
  <si>
    <t>カテゴリ</t>
  </si>
  <si>
    <t>店名</t>
  </si>
  <si>
    <t>合計金額</t>
  </si>
  <si>
    <t xml:space="preserve">AMAZON.CO.JP, </t>
  </si>
  <si>
    <t>対象外店名 設定シートのカテゴリ表に記載してください</t>
  </si>
  <si>
    <t>使い方</t>
    <rPh sb="0" eb="1">
      <t>ツカ</t>
    </rPh>
    <rPh sb="2" eb="3">
      <t>カタ</t>
    </rPh>
    <phoneticPr fontId="1"/>
  </si>
  <si>
    <t>家計簿設定シートのカテゴリ表に、利用した店名を記載してください。</t>
    <rPh sb="13" eb="14">
      <t>ヒョウ</t>
    </rPh>
    <rPh sb="16" eb="18">
      <t>リヨウ</t>
    </rPh>
    <rPh sb="20" eb="22">
      <t>テンメイ</t>
    </rPh>
    <rPh sb="23" eb="25">
      <t>キサイ</t>
    </rPh>
    <phoneticPr fontId="1"/>
  </si>
  <si>
    <t>概要</t>
    <rPh sb="0" eb="2">
      <t>ガイヨウ</t>
    </rPh>
    <phoneticPr fontId="1"/>
  </si>
  <si>
    <t>楽天カードの利用明細.CSVを取り込んで、設定したカテゴリごとの合計金額を出力します。</t>
    <rPh sb="0" eb="2">
      <t>ラクテン</t>
    </rPh>
    <rPh sb="6" eb="10">
      <t>リヨウメイサイ</t>
    </rPh>
    <rPh sb="15" eb="16">
      <t>ト</t>
    </rPh>
    <rPh sb="17" eb="18">
      <t>コ</t>
    </rPh>
    <rPh sb="21" eb="23">
      <t>セッテイ</t>
    </rPh>
    <rPh sb="32" eb="34">
      <t>ゴウケイ</t>
    </rPh>
    <rPh sb="34" eb="36">
      <t>キンガク</t>
    </rPh>
    <rPh sb="37" eb="39">
      <t>シュツリョク</t>
    </rPh>
    <phoneticPr fontId="1"/>
  </si>
  <si>
    <t>カテゴリ表に記載した店名は、店名リストの店名列に自動で反映されます。</t>
    <rPh sb="4" eb="5">
      <t>ヒョウ</t>
    </rPh>
    <rPh sb="6" eb="8">
      <t>キサイ</t>
    </rPh>
    <rPh sb="10" eb="12">
      <t>テンメイ</t>
    </rPh>
    <rPh sb="14" eb="16">
      <t>テンメイ</t>
    </rPh>
    <rPh sb="20" eb="22">
      <t>テンメイ</t>
    </rPh>
    <rPh sb="22" eb="23">
      <t>レツ</t>
    </rPh>
    <rPh sb="24" eb="26">
      <t>ジドウ</t>
    </rPh>
    <rPh sb="27" eb="29">
      <t>ハンエイ</t>
    </rPh>
    <phoneticPr fontId="1"/>
  </si>
  <si>
    <t>カテゴリ列自動入力ボタンを押すと、店名リストのカテゴリ列を入力します。</t>
    <rPh sb="4" eb="5">
      <t>レツ</t>
    </rPh>
    <rPh sb="5" eb="7">
      <t>ジドウ</t>
    </rPh>
    <rPh sb="7" eb="9">
      <t>ニュウリョク</t>
    </rPh>
    <rPh sb="13" eb="14">
      <t>オ</t>
    </rPh>
    <rPh sb="17" eb="19">
      <t>テンメイ</t>
    </rPh>
    <rPh sb="27" eb="28">
      <t>レツ</t>
    </rPh>
    <rPh sb="29" eb="31">
      <t>ニュウリョク</t>
    </rPh>
    <phoneticPr fontId="1"/>
  </si>
  <si>
    <t>カテゴリ表にカテゴリを追加する場合はE列より右の空白列に記載してください。</t>
    <rPh sb="4" eb="5">
      <t>ヒョウ</t>
    </rPh>
    <phoneticPr fontId="1"/>
  </si>
  <si>
    <t>マクロ実行ボタンを押すと、resultシートを作成します。</t>
    <rPh sb="3" eb="5">
      <t>ジッコウ</t>
    </rPh>
    <rPh sb="9" eb="10">
      <t>オ</t>
    </rPh>
    <rPh sb="23" eb="25">
      <t>サクセイ</t>
    </rPh>
    <phoneticPr fontId="1"/>
  </si>
  <si>
    <t>resultシートの対象外店名列に記載がある場合は、店名をカテゴリ表に記載してください。</t>
    <rPh sb="10" eb="12">
      <t>タイショウ</t>
    </rPh>
    <rPh sb="12" eb="13">
      <t>ガイ</t>
    </rPh>
    <rPh sb="13" eb="15">
      <t>テンメイ</t>
    </rPh>
    <rPh sb="15" eb="16">
      <t>レツ</t>
    </rPh>
    <rPh sb="17" eb="19">
      <t>キサイ</t>
    </rPh>
    <rPh sb="22" eb="24">
      <t>バアイ</t>
    </rPh>
    <rPh sb="26" eb="28">
      <t>テンメイ</t>
    </rPh>
    <rPh sb="33" eb="34">
      <t>ヒョウ</t>
    </rPh>
    <rPh sb="35" eb="37">
      <t>キサイ</t>
    </rPh>
    <phoneticPr fontId="1"/>
  </si>
  <si>
    <t>カテゴリ表の店名は部分一致で検索します。</t>
    <rPh sb="4" eb="5">
      <t>ヒョウ</t>
    </rPh>
    <rPh sb="6" eb="8">
      <t>テンメイ</t>
    </rPh>
    <rPh sb="9" eb="13">
      <t>ブブンイッチ</t>
    </rPh>
    <rPh sb="14" eb="16">
      <t>ケンサク</t>
    </rPh>
    <phoneticPr fontId="1"/>
  </si>
  <si>
    <t>カテゴリ列(プルダウン)</t>
  </si>
  <si>
    <t>1月支払金額</t>
  </si>
  <si>
    <t>2月繰越残高</t>
  </si>
  <si>
    <t>2月以降支払金額</t>
  </si>
  <si>
    <t>ＶＩＳＡ国内利用　VS ﾎﾙﾓﾝﾔｷﾆｸ ｴﾝ ｽｶﾞﾓﾃ</t>
  </si>
  <si>
    <t>1月</t>
  </si>
  <si>
    <t>ＶＩＳＡ国内利用　VS ﾜｸﾜｸﾋﾛﾊﾞ ｺﾏｺﾞﾒﾃﾝ</t>
  </si>
  <si>
    <t>ＪＣＢ国内利用　QP  ﾆｸｼﾞﾙｳﾄﾞﾝｻｸﾗ</t>
  </si>
  <si>
    <t>ＪＣＢ国内利用　QP  ｾﾌﾞﾝ-ｲﾚﾌﾞﾝ</t>
  </si>
  <si>
    <t>ＶＩＳＡ国内利用　VS ﾃﾞﾝｼｼﾖｳﾄﾘﾋｷﾖﾄﾞﾊﾞｼ</t>
  </si>
  <si>
    <t>ＪＣＢ国内利用　QP  ﾁﾖﾀﾞｽﾞｼ ｺﾏｺﾞﾒ</t>
  </si>
  <si>
    <t>ＪＣＢ国内利用　QP  ｽｸｴｱ ｼﾞﾔﾑｺ-ﾋ-</t>
  </si>
  <si>
    <t>ＶＩＳＡ国内利用　VS ﾏｲﾊﾞｽｹｯﾄﾆｼｶﾞﾊﾗｲｯﾁ</t>
  </si>
  <si>
    <t>ＪＣＢ国内利用　QP  ﾊﾞ-ｶﾞ-ｷﾝｸﾞ</t>
  </si>
  <si>
    <t>ＪＣＢ国内利用　QP  ｽｷﾞﾔﾂｷﾖｸ ｺﾏｺﾞﾒﾃﾝ</t>
  </si>
  <si>
    <t>ＶＩＳＡ国内利用　VS ｼ-ｽﾞﾝﾏ-ﾄ</t>
  </si>
  <si>
    <t>ソフトバンク（Ｂ）</t>
  </si>
  <si>
    <t>ＪＣＢ国内利用　QP  ﾏﾂﾓﾄｷﾖｼｽｶﾞﾓｴｷﾏｴﾄ</t>
  </si>
  <si>
    <t>ＪＣＢ国内利用　QP  ｾﾘｱ ﾏ-ｸｲｽﾞｼｽﾞｵｶﾃ</t>
  </si>
  <si>
    <t>東京ガス　･1797-675-1077</t>
  </si>
  <si>
    <t>サブスク</t>
  </si>
  <si>
    <t>サブスク</t>
    <phoneticPr fontId="1"/>
  </si>
  <si>
    <t xml:space="preserve">ＶＩＳＡ国内利用　VS ﾎﾙﾓﾝﾔｷﾆｸ ｴﾝ ｽｶﾞﾓﾃ, ＪＣＢ国内利用　QP  ﾆｸｼﾞﾙｳﾄﾞﾝｻｸﾗ, ＪＣＢ国内利用　QP  ﾁﾖﾀﾞｽﾞｼ ｺﾏｺﾞﾒ, ＪＣＢ国内利用　QP  ｽｸｴｱ ｼﾞﾔﾑｺ-ﾋ-, ＪＣＢ国内利用　QP  ﾊﾞ-ｶﾞ-ｷﾝｸﾞ, ＶＩＳＡ国内利用　VS ｻｲｾﾞﾘﾔ/NFC, </t>
  </si>
  <si>
    <t xml:space="preserve">ソフトバンク（Ｂ）, 東京ガス　･1797-675-1077, </t>
  </si>
  <si>
    <t xml:space="preserve">ＪＣＢ国内利用　QP  ｾﾌﾞﾝ-ｲﾚﾌﾞﾝ, ＪＣＢ国内利用　QP  ﾌｱﾐﾘｰﾏｰﾄ, </t>
  </si>
  <si>
    <t xml:space="preserve">ＶＩＳＡ国内利用　VS ﾃﾞﾝｼｼﾖｳﾄﾘﾋｷﾖﾄﾞﾊﾞｼ, ＪＣＢ国内利用　QP  ｽｷﾞﾔﾂｷﾖｸ ｺﾏｺﾞﾒﾃﾝ, ＪＣＢ国内利用　QP  ﾏﾂﾓﾄｷﾖｼｽｶﾞﾓｴｷﾏｴﾄ, ＪＣＢ国内利用　QP  ｾﾘｱ ﾏ-ｸｲｽﾞｼｽﾞｵｶﾃ, ＪＣＢ国内利用　QP  ｻﾝﾄﾞﾗﾂｸﾞ, ＪＣＢ国内利用　QP  ｷﾔﾝﾄﾞｳ, </t>
  </si>
  <si>
    <t xml:space="preserve">ＶＩＳＡ国内利用　VS ﾜｸﾜｸﾋﾛﾊﾞ ｺﾏｺﾞﾒﾃﾝ, ＶＩＳＡ国内利用　VS MYBｺﾏｺﾞﾒﾛｸﾁﾖｳﾒ, ＶＩＳＡ国内利用　VS ｼ-ｽﾞﾝﾏ-ﾄ, ＶＩＳＡ国内利用　VS ﾏｲﾊﾞｽｹｯﾄﾆｼｶﾞﾊﾗｲｯﾁ, ＪＣＢ国内利用　QP  ｾｲﾕｳ, ＪＣＢ国内利用　QP  ﾏｲﾊﾞｽｹﾂﾄ, ＪＣＢ国内利用　QP  ｻｶｶﾞﾐｺﾏｺﾞﾒﾃﾝ,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</si>
</sst>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Border="1">
      <alignment vertical="center"/>
    </xf>
    <xf numFmtId="0" fontId="3" fillId="0" borderId="0" xfId="0" applyFont="1" applyFill="1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120650</xdr:colOff>
          <xdr:row>2</xdr:row>
          <xdr:rowOff>184150</xdr:rowOff>
        </xdr:from>
        <xdr:to>
          <xdr:col>0</xdr:col>
          <xdr:colOff>1066800</xdr:colOff>
          <xdr:row>4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1</xdr:row>
          <xdr:rowOff>12700</xdr:rowOff>
        </xdr:from>
        <xdr:to>
          <xdr:col>0</xdr:col>
          <xdr:colOff>1428750</xdr:colOff>
          <xdr:row>2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カテゴリ列自動入力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628650</xdr:colOff>
      <xdr:row>7</xdr:row>
      <xdr:rowOff>152400</xdr:rowOff>
    </xdr:from>
    <xdr:to>
      <xdr:col>13</xdr:col>
      <xdr:colOff>654050</xdr:colOff>
      <xdr:row>12</xdr:row>
      <xdr:rowOff>95250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A808F1D3-E89A-189D-B231-24CF00637972}"/>
            </a:ext>
          </a:extLst>
        </xdr:cNvPr>
        <xdr:cNvSpPr/>
      </xdr:nvSpPr>
      <xdr:spPr>
        <a:xfrm>
          <a:off x="9220200" y="1860550"/>
          <a:ext cx="2667000" cy="1085850"/>
        </a:xfrm>
        <a:prstGeom prst="wedgeRoundRectCallout">
          <a:avLst>
            <a:gd name="adj1" fmla="val -61282"/>
            <a:gd name="adj2" fmla="val -38153"/>
            <a:gd name="adj3" fmla="val 166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 b="1"/>
            <a:t>店名を手動入力</a:t>
          </a:r>
          <a:endParaRPr kumimoji="1" lang="en-US" altLang="ja-JP" sz="1600" b="1"/>
        </a:p>
        <a:p>
          <a:pPr algn="l"/>
          <a:r>
            <a:rPr kumimoji="1" lang="en-US" altLang="ja-JP" sz="1600" b="1"/>
            <a:t>result</a:t>
          </a:r>
          <a:r>
            <a:rPr kumimoji="1" lang="ja-JP" altLang="en-US" sz="1600" b="1"/>
            <a:t>列のプルダウンをマクロから反映</a:t>
          </a:r>
        </a:p>
      </xdr:txBody>
    </xdr:sp>
    <xdr:clientData/>
  </xdr:twoCellAnchor>
  <xdr:twoCellAnchor>
    <xdr:from>
      <xdr:col>4</xdr:col>
      <xdr:colOff>476250</xdr:colOff>
      <xdr:row>16</xdr:row>
      <xdr:rowOff>196850</xdr:rowOff>
    </xdr:from>
    <xdr:to>
      <xdr:col>8</xdr:col>
      <xdr:colOff>933450</xdr:colOff>
      <xdr:row>21</xdr:row>
      <xdr:rowOff>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84E847A7-10B2-44A7-9A19-9A879AF70849}"/>
            </a:ext>
          </a:extLst>
        </xdr:cNvPr>
        <xdr:cNvSpPr/>
      </xdr:nvSpPr>
      <xdr:spPr>
        <a:xfrm>
          <a:off x="4102100" y="3962400"/>
          <a:ext cx="4419600" cy="946150"/>
        </a:xfrm>
        <a:prstGeom prst="wedgeRoundRectCallout">
          <a:avLst>
            <a:gd name="adj1" fmla="val -61282"/>
            <a:gd name="adj2" fmla="val -47957"/>
            <a:gd name="adj3" fmla="val 166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 b="1"/>
            <a:t>店名 </a:t>
          </a:r>
          <a:r>
            <a:rPr kumimoji="1" lang="en-US" altLang="ja-JP" sz="1600" b="1"/>
            <a:t>: </a:t>
          </a:r>
          <a:r>
            <a:rPr kumimoji="1" lang="ja-JP" altLang="en-US" sz="1600" b="1"/>
            <a:t>自動反映</a:t>
          </a:r>
          <a:endParaRPr kumimoji="1" lang="en-US" altLang="ja-JP" sz="1600" b="1"/>
        </a:p>
        <a:p>
          <a:pPr algn="l"/>
          <a:r>
            <a:rPr kumimoji="1" lang="ja-JP" altLang="en-US" sz="1600" b="1"/>
            <a:t>カテゴリ </a:t>
          </a:r>
          <a:r>
            <a:rPr kumimoji="1" lang="en-US" altLang="ja-JP" sz="1600" b="1"/>
            <a:t>: </a:t>
          </a:r>
          <a:r>
            <a:rPr kumimoji="1" lang="ja-JP" altLang="en-US" sz="1600" b="1"/>
            <a:t>カテゴリ列自動入力簿欄を押下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EF8F9-B0EC-4239-BD0B-4EDFBF9CD66C}">
  <sheetPr codeName="Sheet2"/>
  <dimension ref="B3:C11"/>
  <sheetViews>
    <sheetView showGridLines="0" workbookViewId="0">
      <selection activeCell="C5" sqref="C5"/>
    </sheetView>
  </sheetViews>
  <sheetFormatPr defaultRowHeight="18" x14ac:dyDescent="0.55000000000000004"/>
  <cols>
    <col min="1" max="1" width="5.08203125" customWidth="1"/>
    <col min="2" max="2" width="6.08203125" customWidth="1"/>
  </cols>
  <sheetData>
    <row r="3" spans="2:3" x14ac:dyDescent="0.55000000000000004">
      <c r="B3" t="s">
        <v>41</v>
      </c>
      <c r="C3" t="s">
        <v>42</v>
      </c>
    </row>
    <row r="5" spans="2:3" x14ac:dyDescent="0.55000000000000004">
      <c r="B5" t="s">
        <v>39</v>
      </c>
      <c r="C5" t="s">
        <v>40</v>
      </c>
    </row>
    <row r="6" spans="2:3" x14ac:dyDescent="0.55000000000000004">
      <c r="C6" t="s">
        <v>43</v>
      </c>
    </row>
    <row r="7" spans="2:3" x14ac:dyDescent="0.55000000000000004">
      <c r="C7" t="s">
        <v>44</v>
      </c>
    </row>
    <row r="8" spans="2:3" x14ac:dyDescent="0.55000000000000004">
      <c r="C8" t="s">
        <v>45</v>
      </c>
    </row>
    <row r="9" spans="2:3" x14ac:dyDescent="0.55000000000000004">
      <c r="C9" t="s">
        <v>46</v>
      </c>
    </row>
    <row r="10" spans="2:3" x14ac:dyDescent="0.55000000000000004">
      <c r="C10" t="s">
        <v>47</v>
      </c>
    </row>
    <row r="11" spans="2:3" x14ac:dyDescent="0.55000000000000004">
      <c r="C11" t="s">
        <v>48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3D13C-FD39-4827-BB5A-0B675C89E249}">
  <sheetPr codeName="Sheet1"/>
  <dimension ref="B1:K26"/>
  <sheetViews>
    <sheetView workbookViewId="0">
      <selection activeCell="E4" sqref="E4"/>
    </sheetView>
  </sheetViews>
  <sheetFormatPr defaultRowHeight="18" x14ac:dyDescent="0.55000000000000004"/>
  <cols>
    <col min="1" max="1" width="19.83203125" customWidth="1"/>
    <col min="2" max="2" width="17.08203125" customWidth="1"/>
    <col min="3" max="3" width="8.58203125" bestFit="1" customWidth="1"/>
    <col min="4" max="4" width="2.08203125" customWidth="1"/>
    <col min="5" max="5" width="18.33203125" customWidth="1"/>
    <col min="6" max="6" width="16.25" bestFit="1" customWidth="1"/>
    <col min="7" max="7" width="8.5" bestFit="1" customWidth="1"/>
    <col min="8" max="8" width="14.9140625" bestFit="1" customWidth="1"/>
    <col min="9" max="9" width="13.1640625" bestFit="1" customWidth="1"/>
  </cols>
  <sheetData>
    <row r="1" spans="2:11" x14ac:dyDescent="0.55000000000000004">
      <c r="B1" s="3" t="s">
        <v>14</v>
      </c>
      <c r="E1" s="3" t="s">
        <v>8</v>
      </c>
    </row>
    <row r="2" spans="2:11" ht="26.5" x14ac:dyDescent="0.55000000000000004">
      <c r="B2" s="2" t="s">
        <v>6</v>
      </c>
      <c r="C2" s="2" t="s">
        <v>7</v>
      </c>
      <c r="D2" s="3"/>
      <c r="E2" s="5" t="s">
        <v>0</v>
      </c>
      <c r="F2" s="5" t="s">
        <v>1</v>
      </c>
      <c r="G2" s="5" t="s">
        <v>2</v>
      </c>
      <c r="H2" s="5" t="s">
        <v>3</v>
      </c>
      <c r="I2" s="5" t="s">
        <v>4</v>
      </c>
      <c r="J2" s="6" t="s">
        <v>70</v>
      </c>
      <c r="K2" s="4"/>
    </row>
    <row r="3" spans="2:11" x14ac:dyDescent="0.55000000000000004">
      <c r="B3" s="1" t="str" cm="1">
        <f t="array" ref="B3:B26">_xlfn.TOCOL(E3:J30,1)</f>
        <v>ＶＩＳＡ国内利用　VS ﾜｸﾜｸﾋﾛﾊﾞ ｺﾏｺﾞﾒﾃﾝ</v>
      </c>
      <c r="C3" s="1" t="s">
        <v>9</v>
      </c>
      <c r="E3" s="7" t="s">
        <v>55</v>
      </c>
      <c r="F3" s="7" t="s">
        <v>57</v>
      </c>
      <c r="G3" s="7" t="s">
        <v>58</v>
      </c>
      <c r="H3" s="7" t="s">
        <v>5</v>
      </c>
      <c r="I3" s="7" t="s">
        <v>53</v>
      </c>
      <c r="J3" s="7" t="s">
        <v>65</v>
      </c>
    </row>
    <row r="4" spans="2:11" x14ac:dyDescent="0.55000000000000004">
      <c r="B4" s="1" t="str">
        <v>ＪＣＢ国内利用　QP  ｾﾌﾞﾝ-ｲﾚﾌﾞﾝ</v>
      </c>
      <c r="C4" s="1" t="s">
        <v>10</v>
      </c>
      <c r="E4" s="7" t="s">
        <v>33</v>
      </c>
      <c r="F4" s="7" t="s">
        <v>27</v>
      </c>
      <c r="G4" s="7" t="s">
        <v>63</v>
      </c>
      <c r="H4" s="7"/>
      <c r="I4" s="7" t="s">
        <v>56</v>
      </c>
      <c r="J4" s="7" t="s">
        <v>68</v>
      </c>
    </row>
    <row r="5" spans="2:11" x14ac:dyDescent="0.55000000000000004">
      <c r="B5" s="1" t="str">
        <v>ＶＩＳＡ国内利用　VS ﾃﾞﾝｼｼﾖｳﾄﾘﾋｷﾖﾄﾞﾊﾞｼ</v>
      </c>
      <c r="C5" s="1" t="s">
        <v>11</v>
      </c>
      <c r="E5" s="7" t="s">
        <v>64</v>
      </c>
      <c r="F5" s="7"/>
      <c r="G5" s="7" t="s">
        <v>66</v>
      </c>
      <c r="H5" s="7"/>
      <c r="I5" s="7" t="s">
        <v>59</v>
      </c>
      <c r="J5" s="7"/>
    </row>
    <row r="6" spans="2:11" x14ac:dyDescent="0.55000000000000004">
      <c r="B6" s="1" t="str">
        <v>AMAZON.CO.JP</v>
      </c>
      <c r="C6" s="1" t="s">
        <v>12</v>
      </c>
      <c r="E6" s="7" t="s">
        <v>61</v>
      </c>
      <c r="F6" s="7"/>
      <c r="G6" s="7" t="s">
        <v>67</v>
      </c>
      <c r="H6" s="7"/>
      <c r="I6" s="7" t="s">
        <v>60</v>
      </c>
      <c r="J6" s="7"/>
    </row>
    <row r="7" spans="2:11" x14ac:dyDescent="0.55000000000000004">
      <c r="B7" s="1" t="str">
        <v>ＶＩＳＡ国内利用　VS ﾎﾙﾓﾝﾔｷﾆｸ ｴﾝ ｽｶﾞﾓﾃ</v>
      </c>
      <c r="C7" s="1" t="s">
        <v>13</v>
      </c>
      <c r="E7" t="s">
        <v>26</v>
      </c>
      <c r="F7" s="7"/>
      <c r="G7" s="7" t="s">
        <v>30</v>
      </c>
      <c r="H7" s="7"/>
      <c r="I7" s="7" t="s">
        <v>62</v>
      </c>
      <c r="J7" s="7"/>
    </row>
    <row r="8" spans="2:11" x14ac:dyDescent="0.55000000000000004">
      <c r="B8" s="1" t="str">
        <v>ソフトバンク（Ｂ）</v>
      </c>
      <c r="C8" s="1" t="s">
        <v>69</v>
      </c>
      <c r="E8" t="s">
        <v>28</v>
      </c>
      <c r="G8" t="s">
        <v>29</v>
      </c>
      <c r="H8" s="7"/>
      <c r="I8" s="7" t="s">
        <v>32</v>
      </c>
      <c r="J8" s="7"/>
    </row>
    <row r="9" spans="2:11" x14ac:dyDescent="0.55000000000000004">
      <c r="B9" s="1" t="str">
        <v>ＶＩＳＡ国内利用　VS MYBｺﾏｺﾞﾒﾛｸﾁﾖｳﾒ</v>
      </c>
      <c r="C9" s="1" t="s">
        <v>9</v>
      </c>
      <c r="E9" t="s">
        <v>31</v>
      </c>
      <c r="H9" s="7"/>
    </row>
    <row r="10" spans="2:11" x14ac:dyDescent="0.55000000000000004">
      <c r="B10" s="1" t="str">
        <v>ＪＣＢ国内利用　QP  ﾌｱﾐﾘｰﾏｰﾄ</v>
      </c>
      <c r="C10" s="1" t="s">
        <v>10</v>
      </c>
      <c r="H10" s="7"/>
    </row>
    <row r="11" spans="2:11" x14ac:dyDescent="0.55000000000000004">
      <c r="B11" s="1" t="str">
        <v>ＪＣＢ国内利用　QP  ｽｷﾞﾔﾂｷﾖｸ ｺﾏｺﾞﾒﾃﾝ</v>
      </c>
      <c r="C11" s="1" t="s">
        <v>11</v>
      </c>
      <c r="E11" s="7"/>
      <c r="F11" s="7"/>
      <c r="G11" s="7"/>
      <c r="H11" s="7"/>
    </row>
    <row r="12" spans="2:11" x14ac:dyDescent="0.55000000000000004">
      <c r="B12" s="1" t="str">
        <v>ＪＣＢ国内利用　QP  ﾆｸｼﾞﾙｳﾄﾞﾝｻｸﾗ</v>
      </c>
      <c r="C12" s="1" t="s">
        <v>13</v>
      </c>
      <c r="E12" s="7"/>
      <c r="F12" s="7"/>
      <c r="G12" s="7"/>
      <c r="H12" s="7"/>
      <c r="I12" s="7"/>
      <c r="J12" s="7"/>
    </row>
    <row r="13" spans="2:11" x14ac:dyDescent="0.55000000000000004">
      <c r="B13" s="1" t="str">
        <v>東京ガス　･1797-675-1077</v>
      </c>
      <c r="C13" s="1" t="s">
        <v>69</v>
      </c>
    </row>
    <row r="14" spans="2:11" x14ac:dyDescent="0.55000000000000004">
      <c r="B14" t="str">
        <v>ＶＩＳＡ国内利用　VS ｼ-ｽﾞﾝﾏ-ﾄ</v>
      </c>
      <c r="C14" s="1" t="s">
        <v>9</v>
      </c>
    </row>
    <row r="15" spans="2:11" x14ac:dyDescent="0.55000000000000004">
      <c r="B15" t="str">
        <v>ＪＣＢ国内利用　QP  ﾏﾂﾓﾄｷﾖｼｽｶﾞﾓｴｷﾏｴﾄ</v>
      </c>
      <c r="C15" t="s">
        <v>11</v>
      </c>
    </row>
    <row r="16" spans="2:11" x14ac:dyDescent="0.55000000000000004">
      <c r="B16" t="str">
        <v>ＪＣＢ国内利用　QP  ﾁﾖﾀﾞｽﾞｼ ｺﾏｺﾞﾒ</v>
      </c>
      <c r="C16" t="s">
        <v>13</v>
      </c>
    </row>
    <row r="17" spans="2:3" x14ac:dyDescent="0.55000000000000004">
      <c r="B17" t="str">
        <v>ＶＩＳＡ国内利用　VS ﾏｲﾊﾞｽｹｯﾄﾆｼｶﾞﾊﾗｲｯﾁ</v>
      </c>
      <c r="C17" t="s">
        <v>9</v>
      </c>
    </row>
    <row r="18" spans="2:3" x14ac:dyDescent="0.55000000000000004">
      <c r="B18" t="str">
        <v>ＪＣＢ国内利用　QP  ｾﾘｱ ﾏ-ｸｲｽﾞｼｽﾞｵｶﾃ</v>
      </c>
      <c r="C18" t="s">
        <v>11</v>
      </c>
    </row>
    <row r="19" spans="2:3" x14ac:dyDescent="0.55000000000000004">
      <c r="B19" t="str">
        <v>ＪＣＢ国内利用　QP  ｽｸｴｱ ｼﾞﾔﾑｺ-ﾋ-</v>
      </c>
      <c r="C19" t="s">
        <v>13</v>
      </c>
    </row>
    <row r="20" spans="2:3" x14ac:dyDescent="0.55000000000000004">
      <c r="B20" t="str">
        <v>ＪＣＢ国内利用　QP  ｾｲﾕｳ</v>
      </c>
      <c r="C20" t="s">
        <v>9</v>
      </c>
    </row>
    <row r="21" spans="2:3" x14ac:dyDescent="0.55000000000000004">
      <c r="B21" t="str">
        <v>ＪＣＢ国内利用　QP  ｻﾝﾄﾞﾗﾂｸﾞ</v>
      </c>
      <c r="C21" t="s">
        <v>11</v>
      </c>
    </row>
    <row r="22" spans="2:3" x14ac:dyDescent="0.55000000000000004">
      <c r="B22" t="str">
        <v>ＪＣＢ国内利用　QP  ﾊﾞ-ｶﾞ-ｷﾝｸﾞ</v>
      </c>
      <c r="C22" t="s">
        <v>13</v>
      </c>
    </row>
    <row r="23" spans="2:3" x14ac:dyDescent="0.55000000000000004">
      <c r="B23" t="str">
        <v>ＪＣＢ国内利用　QP  ﾏｲﾊﾞｽｹﾂﾄ</v>
      </c>
      <c r="C23" t="s">
        <v>9</v>
      </c>
    </row>
    <row r="24" spans="2:3" x14ac:dyDescent="0.55000000000000004">
      <c r="B24" t="str">
        <v>ＪＣＢ国内利用　QP  ｷﾔﾝﾄﾞｳ</v>
      </c>
      <c r="C24" t="s">
        <v>11</v>
      </c>
    </row>
    <row r="25" spans="2:3" x14ac:dyDescent="0.55000000000000004">
      <c r="B25" t="str">
        <v>ＶＩＳＡ国内利用　VS ｻｲｾﾞﾘﾔ/NFC</v>
      </c>
      <c r="C25" t="s">
        <v>13</v>
      </c>
    </row>
    <row r="26" spans="2:3" x14ac:dyDescent="0.55000000000000004">
      <c r="B26" t="str">
        <v>ＪＣＢ国内利用　QP  ｻｶｶﾞﾐｺﾏｺﾞﾒﾃﾝ</v>
      </c>
      <c r="C26" t="s">
        <v>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Button1">
                <anchor moveWithCells="1">
                  <from>
                    <xdr:col>0</xdr:col>
                    <xdr:colOff>120650</xdr:colOff>
                    <xdr:row>2</xdr:row>
                    <xdr:rowOff>184150</xdr:rowOff>
                  </from>
                  <to>
                    <xdr:col>0</xdr:col>
                    <xdr:colOff>1066800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PrintCategory">
                <anchor moveWithCells="1" sizeWithCells="1">
                  <from>
                    <xdr:col>0</xdr:col>
                    <xdr:colOff>63500</xdr:colOff>
                    <xdr:row>1</xdr:row>
                    <xdr:rowOff>12700</xdr:rowOff>
                  </from>
                  <to>
                    <xdr:col>0</xdr:col>
                    <xdr:colOff>1428750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BC615-AE47-4349-A628-D8BF85217026}">
  <sheetPr codeName="Sheet11"/>
  <dimension ref="A1:K58"/>
  <sheetViews>
    <sheetView tabSelected="1" topLeftCell="A45" workbookViewId="0">
      <selection activeCell="E58" sqref="E58"/>
    </sheetView>
  </sheetViews>
  <sheetFormatPr defaultRowHeight="18" x14ac:dyDescent="0.55000000000000004"/>
  <sheetData>
    <row r="1" spans="1:11" x14ac:dyDescent="0.55000000000000004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50</v>
      </c>
      <c r="J1" t="s">
        <v>51</v>
      </c>
      <c r="K1" t="s">
        <v>52</v>
      </c>
    </row>
    <row r="2" spans="1:11" x14ac:dyDescent="0.55000000000000004">
      <c r="A2">
        <v>46019</v>
      </c>
      <c r="B2" t="s">
        <v>53</v>
      </c>
      <c r="C2" t="s">
        <v>24</v>
      </c>
      <c r="D2" t="s">
        <v>25</v>
      </c>
      <c r="E2">
        <v>12485</v>
      </c>
      <c r="F2">
        <v>0</v>
      </c>
      <c r="G2">
        <v>12485</v>
      </c>
      <c r="H2" t="s">
        <v>54</v>
      </c>
      <c r="I2">
        <v>12485</v>
      </c>
      <c r="J2">
        <v>0</v>
      </c>
    </row>
    <row r="3" spans="1:11" x14ac:dyDescent="0.55000000000000004">
      <c r="A3">
        <v>46018</v>
      </c>
      <c r="B3" t="s">
        <v>26</v>
      </c>
      <c r="C3" t="s">
        <v>24</v>
      </c>
      <c r="D3" t="s">
        <v>25</v>
      </c>
      <c r="E3">
        <v>2149</v>
      </c>
      <c r="F3">
        <v>0</v>
      </c>
      <c r="G3">
        <v>2149</v>
      </c>
      <c r="H3" t="s">
        <v>54</v>
      </c>
      <c r="I3">
        <v>2149</v>
      </c>
      <c r="J3">
        <v>0</v>
      </c>
    </row>
    <row r="4" spans="1:11" x14ac:dyDescent="0.55000000000000004">
      <c r="A4">
        <v>46017</v>
      </c>
      <c r="B4" t="s">
        <v>28</v>
      </c>
      <c r="C4" t="s">
        <v>24</v>
      </c>
      <c r="D4" t="s">
        <v>25</v>
      </c>
      <c r="E4">
        <v>439</v>
      </c>
      <c r="F4">
        <v>0</v>
      </c>
      <c r="G4">
        <v>439</v>
      </c>
      <c r="H4" t="s">
        <v>54</v>
      </c>
      <c r="I4">
        <v>439</v>
      </c>
      <c r="J4">
        <v>0</v>
      </c>
    </row>
    <row r="5" spans="1:11" x14ac:dyDescent="0.55000000000000004">
      <c r="A5">
        <v>46016</v>
      </c>
      <c r="B5" t="s">
        <v>30</v>
      </c>
      <c r="C5" t="s">
        <v>24</v>
      </c>
      <c r="D5" t="s">
        <v>25</v>
      </c>
      <c r="E5">
        <v>2106</v>
      </c>
      <c r="F5">
        <v>0</v>
      </c>
      <c r="G5">
        <v>2106</v>
      </c>
      <c r="H5" t="s">
        <v>54</v>
      </c>
      <c r="I5">
        <v>2106</v>
      </c>
      <c r="J5">
        <v>0</v>
      </c>
    </row>
    <row r="6" spans="1:11" x14ac:dyDescent="0.55000000000000004">
      <c r="A6">
        <v>46016</v>
      </c>
      <c r="B6" t="s">
        <v>28</v>
      </c>
      <c r="C6" t="s">
        <v>24</v>
      </c>
      <c r="D6" t="s">
        <v>25</v>
      </c>
      <c r="E6">
        <v>488</v>
      </c>
      <c r="F6">
        <v>0</v>
      </c>
      <c r="G6">
        <v>488</v>
      </c>
      <c r="H6" t="s">
        <v>54</v>
      </c>
      <c r="I6">
        <v>488</v>
      </c>
      <c r="J6">
        <v>0</v>
      </c>
    </row>
    <row r="7" spans="1:11" x14ac:dyDescent="0.55000000000000004">
      <c r="A7">
        <v>46014</v>
      </c>
      <c r="B7" t="s">
        <v>55</v>
      </c>
      <c r="C7" t="s">
        <v>24</v>
      </c>
      <c r="D7" t="s">
        <v>25</v>
      </c>
      <c r="E7">
        <v>1658</v>
      </c>
      <c r="F7">
        <v>0</v>
      </c>
      <c r="G7">
        <v>1658</v>
      </c>
      <c r="H7" t="s">
        <v>54</v>
      </c>
      <c r="I7">
        <v>1658</v>
      </c>
      <c r="J7">
        <v>0</v>
      </c>
    </row>
    <row r="8" spans="1:11" x14ac:dyDescent="0.55000000000000004">
      <c r="A8">
        <v>46014</v>
      </c>
      <c r="B8" t="s">
        <v>56</v>
      </c>
      <c r="C8" t="s">
        <v>24</v>
      </c>
      <c r="D8" t="s">
        <v>25</v>
      </c>
      <c r="E8">
        <v>1100</v>
      </c>
      <c r="F8">
        <v>0</v>
      </c>
      <c r="G8">
        <v>1100</v>
      </c>
      <c r="H8" t="s">
        <v>54</v>
      </c>
      <c r="I8">
        <v>1100</v>
      </c>
      <c r="J8">
        <v>0</v>
      </c>
    </row>
    <row r="9" spans="1:11" x14ac:dyDescent="0.55000000000000004">
      <c r="A9">
        <v>46014</v>
      </c>
      <c r="B9" t="s">
        <v>57</v>
      </c>
      <c r="C9" t="s">
        <v>24</v>
      </c>
      <c r="D9" t="s">
        <v>25</v>
      </c>
      <c r="E9">
        <v>183</v>
      </c>
      <c r="F9">
        <v>0</v>
      </c>
      <c r="G9">
        <v>183</v>
      </c>
      <c r="H9" t="s">
        <v>54</v>
      </c>
      <c r="I9">
        <v>183</v>
      </c>
      <c r="J9">
        <v>0</v>
      </c>
    </row>
    <row r="10" spans="1:11" x14ac:dyDescent="0.55000000000000004">
      <c r="A10">
        <v>46014</v>
      </c>
      <c r="B10" t="s">
        <v>28</v>
      </c>
      <c r="C10" t="s">
        <v>24</v>
      </c>
      <c r="D10" t="s">
        <v>25</v>
      </c>
      <c r="E10">
        <v>947</v>
      </c>
      <c r="F10">
        <v>0</v>
      </c>
      <c r="G10">
        <v>947</v>
      </c>
      <c r="H10" t="s">
        <v>54</v>
      </c>
      <c r="I10">
        <v>947</v>
      </c>
      <c r="J10">
        <v>0</v>
      </c>
    </row>
    <row r="11" spans="1:11" x14ac:dyDescent="0.55000000000000004">
      <c r="A11">
        <v>46013</v>
      </c>
      <c r="B11" t="s">
        <v>58</v>
      </c>
      <c r="C11" t="s">
        <v>24</v>
      </c>
      <c r="D11" t="s">
        <v>25</v>
      </c>
      <c r="E11">
        <v>98550</v>
      </c>
      <c r="F11">
        <v>0</v>
      </c>
      <c r="G11">
        <v>98550</v>
      </c>
      <c r="H11" t="s">
        <v>54</v>
      </c>
      <c r="I11">
        <v>98550</v>
      </c>
      <c r="J11">
        <v>0</v>
      </c>
    </row>
    <row r="12" spans="1:11" x14ac:dyDescent="0.55000000000000004">
      <c r="A12">
        <v>46013</v>
      </c>
      <c r="B12" t="s">
        <v>31</v>
      </c>
      <c r="C12" t="s">
        <v>24</v>
      </c>
      <c r="D12" t="s">
        <v>25</v>
      </c>
      <c r="E12">
        <v>915</v>
      </c>
      <c r="F12">
        <v>0</v>
      </c>
      <c r="G12">
        <v>915</v>
      </c>
      <c r="H12" t="s">
        <v>54</v>
      </c>
      <c r="I12">
        <v>915</v>
      </c>
      <c r="J12">
        <v>0</v>
      </c>
    </row>
    <row r="13" spans="1:11" x14ac:dyDescent="0.55000000000000004">
      <c r="A13">
        <v>46013</v>
      </c>
      <c r="B13" t="s">
        <v>33</v>
      </c>
      <c r="C13" t="s">
        <v>24</v>
      </c>
      <c r="D13" t="s">
        <v>25</v>
      </c>
      <c r="E13">
        <v>234</v>
      </c>
      <c r="F13">
        <v>0</v>
      </c>
      <c r="G13">
        <v>234</v>
      </c>
      <c r="H13" t="s">
        <v>54</v>
      </c>
      <c r="I13">
        <v>234</v>
      </c>
      <c r="J13">
        <v>0</v>
      </c>
    </row>
    <row r="14" spans="1:11" x14ac:dyDescent="0.55000000000000004">
      <c r="A14">
        <v>46012</v>
      </c>
      <c r="B14" t="s">
        <v>59</v>
      </c>
      <c r="C14" t="s">
        <v>24</v>
      </c>
      <c r="D14" t="s">
        <v>25</v>
      </c>
      <c r="E14">
        <v>4293</v>
      </c>
      <c r="F14">
        <v>0</v>
      </c>
      <c r="G14">
        <v>4293</v>
      </c>
      <c r="H14" t="s">
        <v>54</v>
      </c>
      <c r="I14">
        <v>4293</v>
      </c>
      <c r="J14">
        <v>0</v>
      </c>
    </row>
    <row r="15" spans="1:11" x14ac:dyDescent="0.55000000000000004">
      <c r="A15">
        <v>46012</v>
      </c>
      <c r="B15" t="s">
        <v>60</v>
      </c>
      <c r="C15" t="s">
        <v>24</v>
      </c>
      <c r="D15" t="s">
        <v>25</v>
      </c>
      <c r="E15">
        <v>4450</v>
      </c>
      <c r="F15">
        <v>0</v>
      </c>
      <c r="G15">
        <v>4450</v>
      </c>
      <c r="H15" t="s">
        <v>54</v>
      </c>
      <c r="I15">
        <v>4450</v>
      </c>
      <c r="J15">
        <v>0</v>
      </c>
    </row>
    <row r="16" spans="1:11" x14ac:dyDescent="0.55000000000000004">
      <c r="A16">
        <v>46011</v>
      </c>
      <c r="B16" t="s">
        <v>61</v>
      </c>
      <c r="C16" t="s">
        <v>24</v>
      </c>
      <c r="D16" t="s">
        <v>25</v>
      </c>
      <c r="E16">
        <v>783</v>
      </c>
      <c r="F16">
        <v>0</v>
      </c>
      <c r="G16">
        <v>783</v>
      </c>
      <c r="H16" t="s">
        <v>54</v>
      </c>
      <c r="I16">
        <v>783</v>
      </c>
      <c r="J16">
        <v>0</v>
      </c>
    </row>
    <row r="17" spans="1:10" x14ac:dyDescent="0.55000000000000004">
      <c r="A17">
        <v>46011</v>
      </c>
      <c r="B17" t="s">
        <v>27</v>
      </c>
      <c r="C17" t="s">
        <v>24</v>
      </c>
      <c r="D17" t="s">
        <v>25</v>
      </c>
      <c r="E17">
        <v>150</v>
      </c>
      <c r="F17">
        <v>0</v>
      </c>
      <c r="G17">
        <v>150</v>
      </c>
      <c r="H17" t="s">
        <v>54</v>
      </c>
      <c r="I17">
        <v>150</v>
      </c>
      <c r="J17">
        <v>0</v>
      </c>
    </row>
    <row r="18" spans="1:10" x14ac:dyDescent="0.55000000000000004">
      <c r="A18">
        <v>46011</v>
      </c>
      <c r="B18" t="s">
        <v>26</v>
      </c>
      <c r="C18" t="s">
        <v>24</v>
      </c>
      <c r="D18" t="s">
        <v>25</v>
      </c>
      <c r="E18">
        <v>1480</v>
      </c>
      <c r="F18">
        <v>0</v>
      </c>
      <c r="G18">
        <v>1480</v>
      </c>
      <c r="H18" t="s">
        <v>54</v>
      </c>
      <c r="I18">
        <v>1480</v>
      </c>
      <c r="J18">
        <v>0</v>
      </c>
    </row>
    <row r="19" spans="1:10" x14ac:dyDescent="0.55000000000000004">
      <c r="A19">
        <v>46010</v>
      </c>
      <c r="B19" t="s">
        <v>31</v>
      </c>
      <c r="C19" t="s">
        <v>24</v>
      </c>
      <c r="D19" t="s">
        <v>25</v>
      </c>
      <c r="E19">
        <v>1294</v>
      </c>
      <c r="F19">
        <v>0</v>
      </c>
      <c r="G19">
        <v>1294</v>
      </c>
      <c r="H19" t="s">
        <v>54</v>
      </c>
      <c r="I19">
        <v>1294</v>
      </c>
      <c r="J19">
        <v>0</v>
      </c>
    </row>
    <row r="20" spans="1:10" x14ac:dyDescent="0.55000000000000004">
      <c r="A20">
        <v>46009</v>
      </c>
      <c r="B20" t="s">
        <v>62</v>
      </c>
      <c r="C20" t="s">
        <v>24</v>
      </c>
      <c r="D20" t="s">
        <v>25</v>
      </c>
      <c r="E20">
        <v>2100</v>
      </c>
      <c r="F20">
        <v>0</v>
      </c>
      <c r="G20">
        <v>2100</v>
      </c>
      <c r="H20" t="s">
        <v>54</v>
      </c>
      <c r="I20">
        <v>2100</v>
      </c>
      <c r="J20">
        <v>0</v>
      </c>
    </row>
    <row r="21" spans="1:10" x14ac:dyDescent="0.55000000000000004">
      <c r="A21">
        <v>46008</v>
      </c>
      <c r="B21" t="s">
        <v>28</v>
      </c>
      <c r="C21" t="s">
        <v>24</v>
      </c>
      <c r="D21" t="s">
        <v>25</v>
      </c>
      <c r="E21">
        <v>117</v>
      </c>
      <c r="F21">
        <v>0</v>
      </c>
      <c r="G21">
        <v>117</v>
      </c>
      <c r="H21" t="s">
        <v>54</v>
      </c>
      <c r="I21">
        <v>117</v>
      </c>
      <c r="J21">
        <v>0</v>
      </c>
    </row>
    <row r="22" spans="1:10" x14ac:dyDescent="0.55000000000000004">
      <c r="A22">
        <v>46007</v>
      </c>
      <c r="B22" t="s">
        <v>28</v>
      </c>
      <c r="C22" t="s">
        <v>24</v>
      </c>
      <c r="D22" t="s">
        <v>25</v>
      </c>
      <c r="E22">
        <v>2762</v>
      </c>
      <c r="F22">
        <v>0</v>
      </c>
      <c r="G22">
        <v>2762</v>
      </c>
      <c r="H22" t="s">
        <v>54</v>
      </c>
      <c r="I22">
        <v>2762</v>
      </c>
      <c r="J22">
        <v>0</v>
      </c>
    </row>
    <row r="23" spans="1:10" x14ac:dyDescent="0.55000000000000004">
      <c r="A23">
        <v>46005</v>
      </c>
      <c r="B23" t="s">
        <v>63</v>
      </c>
      <c r="C23" t="s">
        <v>24</v>
      </c>
      <c r="D23" t="s">
        <v>25</v>
      </c>
      <c r="E23">
        <v>1215</v>
      </c>
      <c r="F23">
        <v>0</v>
      </c>
      <c r="G23">
        <v>1215</v>
      </c>
      <c r="H23" t="s">
        <v>54</v>
      </c>
      <c r="I23">
        <v>1215</v>
      </c>
      <c r="J23">
        <v>0</v>
      </c>
    </row>
    <row r="24" spans="1:10" x14ac:dyDescent="0.55000000000000004">
      <c r="A24">
        <v>46005</v>
      </c>
      <c r="B24" t="s">
        <v>29</v>
      </c>
      <c r="C24" t="s">
        <v>24</v>
      </c>
      <c r="D24" t="s">
        <v>25</v>
      </c>
      <c r="E24">
        <v>110</v>
      </c>
      <c r="F24">
        <v>0</v>
      </c>
      <c r="G24">
        <v>110</v>
      </c>
      <c r="H24" t="s">
        <v>54</v>
      </c>
      <c r="I24">
        <v>110</v>
      </c>
      <c r="J24">
        <v>0</v>
      </c>
    </row>
    <row r="25" spans="1:10" x14ac:dyDescent="0.55000000000000004">
      <c r="A25">
        <v>46005</v>
      </c>
      <c r="B25" t="s">
        <v>28</v>
      </c>
      <c r="C25" t="s">
        <v>24</v>
      </c>
      <c r="D25" t="s">
        <v>25</v>
      </c>
      <c r="E25">
        <v>1403</v>
      </c>
      <c r="F25">
        <v>0</v>
      </c>
      <c r="G25">
        <v>1403</v>
      </c>
      <c r="H25" t="s">
        <v>54</v>
      </c>
      <c r="I25">
        <v>1403</v>
      </c>
      <c r="J25">
        <v>0</v>
      </c>
    </row>
    <row r="26" spans="1:10" x14ac:dyDescent="0.55000000000000004">
      <c r="A26">
        <v>46004</v>
      </c>
      <c r="B26" t="s">
        <v>23</v>
      </c>
      <c r="C26" t="s">
        <v>24</v>
      </c>
      <c r="D26" t="s">
        <v>25</v>
      </c>
      <c r="E26">
        <v>2602</v>
      </c>
      <c r="F26">
        <v>0</v>
      </c>
      <c r="G26">
        <v>2602</v>
      </c>
      <c r="H26" t="s">
        <v>54</v>
      </c>
      <c r="I26">
        <v>2602</v>
      </c>
      <c r="J26">
        <v>0</v>
      </c>
    </row>
    <row r="27" spans="1:10" x14ac:dyDescent="0.55000000000000004">
      <c r="A27">
        <v>46004</v>
      </c>
      <c r="B27" t="s">
        <v>23</v>
      </c>
      <c r="C27" t="s">
        <v>24</v>
      </c>
      <c r="D27" t="s">
        <v>25</v>
      </c>
      <c r="E27">
        <v>2580</v>
      </c>
      <c r="F27">
        <v>0</v>
      </c>
      <c r="G27">
        <v>2580</v>
      </c>
      <c r="H27" t="s">
        <v>54</v>
      </c>
      <c r="I27">
        <v>2580</v>
      </c>
      <c r="J27">
        <v>0</v>
      </c>
    </row>
    <row r="28" spans="1:10" x14ac:dyDescent="0.55000000000000004">
      <c r="A28">
        <v>46004</v>
      </c>
      <c r="B28" t="s">
        <v>64</v>
      </c>
      <c r="C28" t="s">
        <v>24</v>
      </c>
      <c r="D28" t="s">
        <v>25</v>
      </c>
      <c r="E28">
        <v>2700</v>
      </c>
      <c r="F28">
        <v>0</v>
      </c>
      <c r="G28">
        <v>2700</v>
      </c>
      <c r="H28" t="s">
        <v>54</v>
      </c>
      <c r="I28">
        <v>2700</v>
      </c>
      <c r="J28">
        <v>0</v>
      </c>
    </row>
    <row r="29" spans="1:10" x14ac:dyDescent="0.55000000000000004">
      <c r="A29">
        <v>46004</v>
      </c>
      <c r="B29" t="s">
        <v>28</v>
      </c>
      <c r="C29" t="s">
        <v>24</v>
      </c>
      <c r="D29" t="s">
        <v>25</v>
      </c>
      <c r="E29">
        <v>1297</v>
      </c>
      <c r="F29">
        <v>0</v>
      </c>
      <c r="G29">
        <v>1297</v>
      </c>
      <c r="H29" t="s">
        <v>54</v>
      </c>
      <c r="I29">
        <v>1297</v>
      </c>
      <c r="J29">
        <v>0</v>
      </c>
    </row>
    <row r="30" spans="1:10" x14ac:dyDescent="0.55000000000000004">
      <c r="A30">
        <v>46004</v>
      </c>
      <c r="B30" t="s">
        <v>57</v>
      </c>
      <c r="C30" t="s">
        <v>24</v>
      </c>
      <c r="D30" t="s">
        <v>25</v>
      </c>
      <c r="E30">
        <v>527</v>
      </c>
      <c r="F30">
        <v>0</v>
      </c>
      <c r="G30">
        <v>527</v>
      </c>
      <c r="H30" t="s">
        <v>54</v>
      </c>
      <c r="I30">
        <v>527</v>
      </c>
      <c r="J30">
        <v>0</v>
      </c>
    </row>
    <row r="31" spans="1:10" x14ac:dyDescent="0.55000000000000004">
      <c r="A31">
        <v>46004</v>
      </c>
      <c r="B31" t="s">
        <v>29</v>
      </c>
      <c r="C31" t="s">
        <v>24</v>
      </c>
      <c r="D31" t="s">
        <v>25</v>
      </c>
      <c r="E31">
        <v>220</v>
      </c>
      <c r="F31">
        <v>0</v>
      </c>
      <c r="G31">
        <v>220</v>
      </c>
      <c r="H31" t="s">
        <v>54</v>
      </c>
      <c r="I31">
        <v>220</v>
      </c>
      <c r="J31">
        <v>0</v>
      </c>
    </row>
    <row r="32" spans="1:10" x14ac:dyDescent="0.55000000000000004">
      <c r="A32">
        <v>46003</v>
      </c>
      <c r="B32" t="s">
        <v>31</v>
      </c>
      <c r="C32" t="s">
        <v>24</v>
      </c>
      <c r="D32" t="s">
        <v>25</v>
      </c>
      <c r="E32">
        <v>3629</v>
      </c>
      <c r="F32">
        <v>0</v>
      </c>
      <c r="G32">
        <v>3629</v>
      </c>
      <c r="H32" t="s">
        <v>54</v>
      </c>
      <c r="I32">
        <v>3629</v>
      </c>
      <c r="J32">
        <v>0</v>
      </c>
    </row>
    <row r="33" spans="1:10" x14ac:dyDescent="0.55000000000000004">
      <c r="A33">
        <v>46002</v>
      </c>
      <c r="B33" t="s">
        <v>28</v>
      </c>
      <c r="C33" t="s">
        <v>24</v>
      </c>
      <c r="D33" t="s">
        <v>25</v>
      </c>
      <c r="E33">
        <v>633</v>
      </c>
      <c r="F33">
        <v>0</v>
      </c>
      <c r="G33">
        <v>633</v>
      </c>
      <c r="H33" t="s">
        <v>54</v>
      </c>
      <c r="I33">
        <v>633</v>
      </c>
      <c r="J33">
        <v>0</v>
      </c>
    </row>
    <row r="34" spans="1:10" x14ac:dyDescent="0.55000000000000004">
      <c r="A34">
        <v>46002</v>
      </c>
      <c r="B34" t="s">
        <v>30</v>
      </c>
      <c r="C34" t="s">
        <v>24</v>
      </c>
      <c r="D34" t="s">
        <v>25</v>
      </c>
      <c r="E34">
        <v>2523</v>
      </c>
      <c r="F34">
        <v>0</v>
      </c>
      <c r="G34">
        <v>2523</v>
      </c>
      <c r="H34" t="s">
        <v>54</v>
      </c>
      <c r="I34">
        <v>2523</v>
      </c>
      <c r="J34">
        <v>0</v>
      </c>
    </row>
    <row r="35" spans="1:10" x14ac:dyDescent="0.55000000000000004">
      <c r="A35">
        <v>46002</v>
      </c>
      <c r="B35" t="s">
        <v>31</v>
      </c>
      <c r="C35" t="s">
        <v>24</v>
      </c>
      <c r="D35" t="s">
        <v>25</v>
      </c>
      <c r="E35">
        <v>1379</v>
      </c>
      <c r="F35">
        <v>0</v>
      </c>
      <c r="G35">
        <v>1379</v>
      </c>
      <c r="H35" t="s">
        <v>54</v>
      </c>
      <c r="I35">
        <v>1379</v>
      </c>
      <c r="J35">
        <v>0</v>
      </c>
    </row>
    <row r="36" spans="1:10" x14ac:dyDescent="0.55000000000000004">
      <c r="A36">
        <v>46002</v>
      </c>
      <c r="B36" t="s">
        <v>31</v>
      </c>
      <c r="C36" t="s">
        <v>24</v>
      </c>
      <c r="D36" t="s">
        <v>25</v>
      </c>
      <c r="E36">
        <v>854</v>
      </c>
      <c r="F36">
        <v>0</v>
      </c>
      <c r="G36">
        <v>854</v>
      </c>
      <c r="H36" t="s">
        <v>54</v>
      </c>
      <c r="I36">
        <v>854</v>
      </c>
      <c r="J36">
        <v>0</v>
      </c>
    </row>
    <row r="37" spans="1:10" x14ac:dyDescent="0.55000000000000004">
      <c r="A37">
        <v>46000</v>
      </c>
      <c r="B37" t="s">
        <v>65</v>
      </c>
      <c r="C37" t="s">
        <v>24</v>
      </c>
      <c r="D37" t="s">
        <v>25</v>
      </c>
      <c r="E37">
        <v>5500</v>
      </c>
      <c r="F37">
        <v>0</v>
      </c>
      <c r="G37">
        <v>5500</v>
      </c>
      <c r="H37" t="s">
        <v>54</v>
      </c>
      <c r="I37">
        <v>5500</v>
      </c>
      <c r="J37">
        <v>0</v>
      </c>
    </row>
    <row r="38" spans="1:10" x14ac:dyDescent="0.55000000000000004">
      <c r="A38">
        <v>46000</v>
      </c>
      <c r="B38" t="s">
        <v>31</v>
      </c>
      <c r="C38" t="s">
        <v>24</v>
      </c>
      <c r="D38" t="s">
        <v>25</v>
      </c>
      <c r="E38">
        <v>2834</v>
      </c>
      <c r="F38">
        <v>0</v>
      </c>
      <c r="G38">
        <v>2834</v>
      </c>
      <c r="H38" t="s">
        <v>54</v>
      </c>
      <c r="I38">
        <v>2834</v>
      </c>
      <c r="J38">
        <v>0</v>
      </c>
    </row>
    <row r="39" spans="1:10" x14ac:dyDescent="0.55000000000000004">
      <c r="A39">
        <v>46000</v>
      </c>
      <c r="B39" t="s">
        <v>28</v>
      </c>
      <c r="C39" t="s">
        <v>24</v>
      </c>
      <c r="D39" t="s">
        <v>25</v>
      </c>
      <c r="E39">
        <v>333</v>
      </c>
      <c r="F39">
        <v>0</v>
      </c>
      <c r="G39">
        <v>333</v>
      </c>
      <c r="H39" t="s">
        <v>54</v>
      </c>
      <c r="I39">
        <v>333</v>
      </c>
      <c r="J39">
        <v>0</v>
      </c>
    </row>
    <row r="40" spans="1:10" x14ac:dyDescent="0.55000000000000004">
      <c r="A40">
        <v>45999</v>
      </c>
      <c r="B40" t="s">
        <v>23</v>
      </c>
      <c r="C40" t="s">
        <v>24</v>
      </c>
      <c r="D40" t="s">
        <v>25</v>
      </c>
      <c r="E40">
        <v>7460</v>
      </c>
      <c r="F40">
        <v>0</v>
      </c>
      <c r="G40">
        <v>7460</v>
      </c>
      <c r="H40" t="s">
        <v>54</v>
      </c>
      <c r="I40">
        <v>7460</v>
      </c>
      <c r="J40">
        <v>0</v>
      </c>
    </row>
    <row r="41" spans="1:10" x14ac:dyDescent="0.55000000000000004">
      <c r="A41">
        <v>45999</v>
      </c>
      <c r="B41" t="s">
        <v>61</v>
      </c>
      <c r="C41" t="s">
        <v>24</v>
      </c>
      <c r="D41" t="s">
        <v>25</v>
      </c>
      <c r="E41">
        <v>2794</v>
      </c>
      <c r="F41">
        <v>0</v>
      </c>
      <c r="G41">
        <v>2794</v>
      </c>
      <c r="H41" t="s">
        <v>54</v>
      </c>
      <c r="I41">
        <v>2794</v>
      </c>
      <c r="J41">
        <v>0</v>
      </c>
    </row>
    <row r="42" spans="1:10" x14ac:dyDescent="0.55000000000000004">
      <c r="A42">
        <v>45999</v>
      </c>
      <c r="B42" t="s">
        <v>28</v>
      </c>
      <c r="C42" t="s">
        <v>24</v>
      </c>
      <c r="D42" t="s">
        <v>25</v>
      </c>
      <c r="E42">
        <v>204</v>
      </c>
      <c r="F42">
        <v>0</v>
      </c>
      <c r="G42">
        <v>204</v>
      </c>
      <c r="H42" t="s">
        <v>54</v>
      </c>
      <c r="I42">
        <v>204</v>
      </c>
      <c r="J42">
        <v>0</v>
      </c>
    </row>
    <row r="43" spans="1:10" x14ac:dyDescent="0.55000000000000004">
      <c r="A43">
        <v>45998</v>
      </c>
      <c r="B43" t="s">
        <v>23</v>
      </c>
      <c r="C43" t="s">
        <v>24</v>
      </c>
      <c r="D43" t="s">
        <v>25</v>
      </c>
      <c r="E43">
        <v>1998</v>
      </c>
      <c r="F43">
        <v>0</v>
      </c>
      <c r="G43">
        <v>1998</v>
      </c>
      <c r="H43" t="s">
        <v>54</v>
      </c>
      <c r="I43">
        <v>1998</v>
      </c>
      <c r="J43">
        <v>0</v>
      </c>
    </row>
    <row r="44" spans="1:10" x14ac:dyDescent="0.55000000000000004">
      <c r="A44">
        <v>45998</v>
      </c>
      <c r="B44" t="s">
        <v>66</v>
      </c>
      <c r="C44" t="s">
        <v>24</v>
      </c>
      <c r="D44" t="s">
        <v>25</v>
      </c>
      <c r="E44">
        <v>3230</v>
      </c>
      <c r="F44">
        <v>0</v>
      </c>
      <c r="G44">
        <v>3230</v>
      </c>
      <c r="H44" t="s">
        <v>54</v>
      </c>
      <c r="I44">
        <v>3230</v>
      </c>
      <c r="J44">
        <v>0</v>
      </c>
    </row>
    <row r="45" spans="1:10" x14ac:dyDescent="0.55000000000000004">
      <c r="A45">
        <v>45998</v>
      </c>
      <c r="B45" t="s">
        <v>28</v>
      </c>
      <c r="C45" t="s">
        <v>24</v>
      </c>
      <c r="D45" t="s">
        <v>25</v>
      </c>
      <c r="E45">
        <v>714</v>
      </c>
      <c r="F45">
        <v>0</v>
      </c>
      <c r="G45">
        <v>714</v>
      </c>
      <c r="H45" t="s">
        <v>54</v>
      </c>
      <c r="I45">
        <v>714</v>
      </c>
      <c r="J45">
        <v>0</v>
      </c>
    </row>
    <row r="46" spans="1:10" x14ac:dyDescent="0.55000000000000004">
      <c r="A46">
        <v>45997</v>
      </c>
      <c r="B46" t="s">
        <v>32</v>
      </c>
      <c r="C46" t="s">
        <v>24</v>
      </c>
      <c r="D46" t="s">
        <v>25</v>
      </c>
      <c r="E46">
        <v>4150</v>
      </c>
      <c r="F46">
        <v>0</v>
      </c>
      <c r="G46">
        <v>4150</v>
      </c>
      <c r="H46" t="s">
        <v>54</v>
      </c>
      <c r="I46">
        <v>4150</v>
      </c>
      <c r="J46">
        <v>0</v>
      </c>
    </row>
    <row r="47" spans="1:10" x14ac:dyDescent="0.55000000000000004">
      <c r="A47">
        <v>45996</v>
      </c>
      <c r="B47" t="s">
        <v>27</v>
      </c>
      <c r="C47" t="s">
        <v>24</v>
      </c>
      <c r="D47" t="s">
        <v>25</v>
      </c>
      <c r="E47">
        <v>424</v>
      </c>
      <c r="F47">
        <v>0</v>
      </c>
      <c r="G47">
        <v>424</v>
      </c>
      <c r="H47" t="s">
        <v>54</v>
      </c>
      <c r="I47">
        <v>424</v>
      </c>
      <c r="J47">
        <v>0</v>
      </c>
    </row>
    <row r="48" spans="1:10" x14ac:dyDescent="0.55000000000000004">
      <c r="A48">
        <v>45996</v>
      </c>
      <c r="B48" t="s">
        <v>28</v>
      </c>
      <c r="C48" t="s">
        <v>24</v>
      </c>
      <c r="D48" t="s">
        <v>25</v>
      </c>
      <c r="E48">
        <v>204</v>
      </c>
      <c r="F48">
        <v>0</v>
      </c>
      <c r="G48">
        <v>204</v>
      </c>
      <c r="H48" t="s">
        <v>54</v>
      </c>
      <c r="I48">
        <v>204</v>
      </c>
      <c r="J48">
        <v>0</v>
      </c>
    </row>
    <row r="49" spans="1:10" x14ac:dyDescent="0.55000000000000004">
      <c r="A49">
        <v>45995</v>
      </c>
      <c r="B49" t="s">
        <v>23</v>
      </c>
      <c r="C49" t="s">
        <v>24</v>
      </c>
      <c r="D49" t="s">
        <v>25</v>
      </c>
      <c r="E49">
        <v>699</v>
      </c>
      <c r="F49">
        <v>0</v>
      </c>
      <c r="G49">
        <v>699</v>
      </c>
      <c r="H49" t="s">
        <v>54</v>
      </c>
      <c r="I49">
        <v>699</v>
      </c>
      <c r="J49">
        <v>0</v>
      </c>
    </row>
    <row r="50" spans="1:10" x14ac:dyDescent="0.55000000000000004">
      <c r="A50">
        <v>45995</v>
      </c>
      <c r="B50" t="s">
        <v>62</v>
      </c>
      <c r="C50" t="s">
        <v>24</v>
      </c>
      <c r="D50" t="s">
        <v>25</v>
      </c>
      <c r="E50">
        <v>2330</v>
      </c>
      <c r="F50">
        <v>0</v>
      </c>
      <c r="G50">
        <v>2330</v>
      </c>
      <c r="H50" t="s">
        <v>54</v>
      </c>
      <c r="I50">
        <v>2330</v>
      </c>
      <c r="J50">
        <v>0</v>
      </c>
    </row>
    <row r="51" spans="1:10" x14ac:dyDescent="0.55000000000000004">
      <c r="A51">
        <v>45995</v>
      </c>
      <c r="B51" t="s">
        <v>26</v>
      </c>
      <c r="C51" t="s">
        <v>24</v>
      </c>
      <c r="D51" t="s">
        <v>25</v>
      </c>
      <c r="E51">
        <v>877</v>
      </c>
      <c r="F51">
        <v>0</v>
      </c>
      <c r="G51">
        <v>877</v>
      </c>
      <c r="H51" t="s">
        <v>54</v>
      </c>
      <c r="I51">
        <v>877</v>
      </c>
      <c r="J51">
        <v>0</v>
      </c>
    </row>
    <row r="52" spans="1:10" x14ac:dyDescent="0.55000000000000004">
      <c r="A52">
        <v>45995</v>
      </c>
      <c r="B52" t="s">
        <v>26</v>
      </c>
      <c r="C52" t="s">
        <v>24</v>
      </c>
      <c r="D52" t="s">
        <v>25</v>
      </c>
      <c r="E52">
        <v>1999</v>
      </c>
      <c r="F52">
        <v>0</v>
      </c>
      <c r="G52">
        <v>1999</v>
      </c>
      <c r="H52" t="s">
        <v>54</v>
      </c>
      <c r="I52">
        <v>1999</v>
      </c>
      <c r="J52">
        <v>0</v>
      </c>
    </row>
    <row r="53" spans="1:10" x14ac:dyDescent="0.55000000000000004">
      <c r="A53">
        <v>45994</v>
      </c>
      <c r="B53" t="s">
        <v>29</v>
      </c>
      <c r="C53" t="s">
        <v>24</v>
      </c>
      <c r="D53" t="s">
        <v>25</v>
      </c>
      <c r="E53">
        <v>110</v>
      </c>
      <c r="F53">
        <v>0</v>
      </c>
      <c r="G53">
        <v>110</v>
      </c>
      <c r="H53" t="s">
        <v>54</v>
      </c>
      <c r="I53">
        <v>110</v>
      </c>
      <c r="J53">
        <v>0</v>
      </c>
    </row>
    <row r="54" spans="1:10" x14ac:dyDescent="0.55000000000000004">
      <c r="A54">
        <v>45993</v>
      </c>
      <c r="B54" t="s">
        <v>23</v>
      </c>
      <c r="C54" t="s">
        <v>24</v>
      </c>
      <c r="D54" t="s">
        <v>25</v>
      </c>
      <c r="E54">
        <v>37690</v>
      </c>
      <c r="F54">
        <v>0</v>
      </c>
      <c r="G54">
        <v>37690</v>
      </c>
      <c r="H54" t="s">
        <v>54</v>
      </c>
      <c r="I54">
        <v>37690</v>
      </c>
      <c r="J54">
        <v>0</v>
      </c>
    </row>
    <row r="55" spans="1:10" x14ac:dyDescent="0.55000000000000004">
      <c r="A55">
        <v>45993</v>
      </c>
      <c r="B55" t="s">
        <v>33</v>
      </c>
      <c r="C55" t="s">
        <v>24</v>
      </c>
      <c r="D55" t="s">
        <v>25</v>
      </c>
      <c r="E55">
        <v>896</v>
      </c>
      <c r="F55">
        <v>0</v>
      </c>
      <c r="G55">
        <v>896</v>
      </c>
      <c r="H55" t="s">
        <v>54</v>
      </c>
      <c r="I55">
        <v>896</v>
      </c>
      <c r="J55">
        <v>0</v>
      </c>
    </row>
    <row r="56" spans="1:10" x14ac:dyDescent="0.55000000000000004">
      <c r="A56">
        <v>45993</v>
      </c>
      <c r="B56" t="s">
        <v>67</v>
      </c>
      <c r="C56" t="s">
        <v>24</v>
      </c>
      <c r="D56" t="s">
        <v>25</v>
      </c>
      <c r="E56">
        <v>440</v>
      </c>
      <c r="F56">
        <v>0</v>
      </c>
      <c r="G56">
        <v>440</v>
      </c>
      <c r="H56" t="s">
        <v>54</v>
      </c>
      <c r="I56">
        <v>440</v>
      </c>
      <c r="J56">
        <v>0</v>
      </c>
    </row>
    <row r="57" spans="1:10" x14ac:dyDescent="0.55000000000000004">
      <c r="A57">
        <v>45992</v>
      </c>
      <c r="B57" t="s">
        <v>33</v>
      </c>
      <c r="C57" t="s">
        <v>24</v>
      </c>
      <c r="D57" t="s">
        <v>25</v>
      </c>
      <c r="E57">
        <v>2218</v>
      </c>
      <c r="F57">
        <v>0</v>
      </c>
      <c r="G57">
        <v>2218</v>
      </c>
      <c r="H57" t="s">
        <v>54</v>
      </c>
      <c r="I57">
        <v>2218</v>
      </c>
      <c r="J57">
        <v>0</v>
      </c>
    </row>
    <row r="58" spans="1:10" x14ac:dyDescent="0.55000000000000004">
      <c r="A58">
        <v>45987</v>
      </c>
      <c r="B58" t="s">
        <v>68</v>
      </c>
      <c r="C58" t="s">
        <v>24</v>
      </c>
      <c r="D58" t="s">
        <v>25</v>
      </c>
      <c r="E58">
        <v>3316</v>
      </c>
      <c r="F58">
        <v>0</v>
      </c>
      <c r="G58">
        <v>3316</v>
      </c>
      <c r="H58" t="s">
        <v>54</v>
      </c>
      <c r="I58">
        <v>3316</v>
      </c>
      <c r="J5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CD854-8DC7-42E6-89D5-7E1DB7818B03}">
  <sheetPr codeName="Sheet12"/>
  <dimension ref="A1:E7"/>
  <sheetViews>
    <sheetView workbookViewId="0">
      <selection activeCell="D10" sqref="D10"/>
    </sheetView>
  </sheetViews>
  <sheetFormatPr defaultRowHeight="18" x14ac:dyDescent="0.55000000000000004"/>
  <cols>
    <col min="1" max="1" width="8.4140625" bestFit="1" customWidth="1"/>
    <col min="2" max="2" width="8.5" bestFit="1" customWidth="1"/>
    <col min="3" max="3" width="4.83203125" bestFit="1" customWidth="1"/>
    <col min="4" max="4" width="49.9140625" bestFit="1" customWidth="1"/>
    <col min="5" max="5" width="21.33203125" bestFit="1" customWidth="1"/>
  </cols>
  <sheetData>
    <row r="1" spans="1:5" x14ac:dyDescent="0.55000000000000004">
      <c r="A1" t="s">
        <v>34</v>
      </c>
      <c r="B1" t="s">
        <v>36</v>
      </c>
      <c r="C1" t="s">
        <v>35</v>
      </c>
      <c r="D1" t="s">
        <v>38</v>
      </c>
      <c r="E1" t="s">
        <v>49</v>
      </c>
    </row>
    <row r="2" spans="1:5" x14ac:dyDescent="0.55000000000000004">
      <c r="A2" t="s">
        <v>9</v>
      </c>
      <c r="B2">
        <v>38234</v>
      </c>
      <c r="C2" t="s">
        <v>75</v>
      </c>
    </row>
    <row r="3" spans="1:5" x14ac:dyDescent="0.55000000000000004">
      <c r="A3" t="s">
        <v>10</v>
      </c>
      <c r="B3">
        <v>1284</v>
      </c>
      <c r="C3" t="s">
        <v>73</v>
      </c>
    </row>
    <row r="4" spans="1:5" x14ac:dyDescent="0.55000000000000004">
      <c r="A4" t="s">
        <v>11</v>
      </c>
      <c r="B4">
        <v>108504</v>
      </c>
      <c r="C4" t="s">
        <v>74</v>
      </c>
    </row>
    <row r="5" spans="1:5" x14ac:dyDescent="0.55000000000000004">
      <c r="A5" t="s">
        <v>12</v>
      </c>
      <c r="B5">
        <v>53029</v>
      </c>
      <c r="C5" t="s">
        <v>37</v>
      </c>
    </row>
    <row r="6" spans="1:5" x14ac:dyDescent="0.55000000000000004">
      <c r="A6" t="s">
        <v>13</v>
      </c>
      <c r="B6">
        <v>30908</v>
      </c>
      <c r="C6" t="s">
        <v>71</v>
      </c>
    </row>
    <row r="7" spans="1:5" x14ac:dyDescent="0.55000000000000004">
      <c r="A7" t="s">
        <v>69</v>
      </c>
      <c r="B7">
        <v>8816</v>
      </c>
      <c r="C7" t="s">
        <v>72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表紙</vt:lpstr>
      <vt:lpstr>家計簿設定シート</vt:lpstr>
      <vt:lpstr>CSV取込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明葉 影森</dc:creator>
  <cp:lastModifiedBy>宮川　広夢</cp:lastModifiedBy>
  <dcterms:created xsi:type="dcterms:W3CDTF">2025-09-01T12:00:51Z</dcterms:created>
  <dcterms:modified xsi:type="dcterms:W3CDTF">2025-12-31T18:04:22Z</dcterms:modified>
</cp:coreProperties>
</file>